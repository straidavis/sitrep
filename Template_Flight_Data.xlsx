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tts_Laptop\Documents\"/>
    </mc:Choice>
  </mc:AlternateContent>
  <xr:revisionPtr revIDLastSave="0" documentId="13_ncr:1_{0917B684-21C4-4AF0-A702-3D74A1F12D5E}" xr6:coauthVersionLast="47" xr6:coauthVersionMax="47" xr10:uidLastSave="{00000000-0000-0000-0000-000000000000}"/>
  <bookViews>
    <workbookView xWindow="390" yWindow="2442" windowWidth="17280" windowHeight="8904" xr2:uid="{58818BF9-71A0-453E-9183-8CC4CA242EC7}"/>
  </bookViews>
  <sheets>
    <sheet name="SITREP Data" sheetId="1" r:id="rId1"/>
  </sheets>
  <externalReferences>
    <externalReference r:id="rId2"/>
  </externalReferences>
  <definedNames>
    <definedName name="cnx_criteria">[1]!cnx_SAI_other[Cancel/Abort/Delay (SAI/OTHER)]</definedName>
    <definedName name="ExternalData_1" localSheetId="0" hidden="1">'SITREP Data'!#REF!</definedName>
    <definedName name="ExternalData_2" localSheetId="0" hidden="1">'SITREP Data'!$A$1:$W$35</definedName>
    <definedName name="Part_Category">[1]!inv_Data[Category]</definedName>
    <definedName name="Part_Description">[1]!inv_Data[Part Description]</definedName>
    <definedName name="weather">[1]!weather_table[Weather]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" i="1" l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C3" i="1"/>
  <c r="AB3" i="1" l="1"/>
  <c r="A7" i="1"/>
  <c r="A2" i="1"/>
  <c r="A31" i="1"/>
  <c r="A14" i="1"/>
  <c r="A26" i="1"/>
  <c r="A18" i="1"/>
  <c r="A12" i="1"/>
  <c r="A5" i="1"/>
  <c r="A20" i="1"/>
  <c r="A32" i="1"/>
  <c r="A17" i="1"/>
  <c r="A13" i="1"/>
  <c r="A16" i="1"/>
  <c r="A21" i="1"/>
  <c r="A6" i="1"/>
  <c r="A23" i="1"/>
  <c r="A8" i="1"/>
  <c r="A25" i="1"/>
  <c r="A9" i="1"/>
  <c r="A11" i="1"/>
  <c r="A29" i="1"/>
  <c r="A22" i="1"/>
  <c r="A27" i="1"/>
  <c r="AD3" i="1"/>
  <c r="A35" i="1"/>
  <c r="A10" i="1"/>
  <c r="A34" i="1"/>
  <c r="A30" i="1"/>
  <c r="A24" i="1"/>
  <c r="A15" i="1"/>
  <c r="A19" i="1"/>
  <c r="A4" i="1"/>
  <c r="A33" i="1"/>
  <c r="A3" i="1"/>
  <c r="A2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CDEA00-C8B4-4643-A5CE-FC9DE68D7AFD}" keepAlive="1" name="Query - all_Sitrep_Query" description="Connection to the 'all_Sitrep_Query' query in the workbook." type="5" refreshedVersion="8" background="1" saveData="1">
    <dbPr connection="Provider=Microsoft.Mashup.OleDb.1;Data Source=$Workbook$;Location=all_Sitrep_Query;Extended Properties=&quot;&quot;" command="SELECT * FROM [all_Sitrep_Query]"/>
  </connection>
  <connection id="2" xr16:uid="{E7341A01-950F-447D-BCF1-7E0FDBBB6746}" keepAlive="1" name="Query - sitrep_Data_Query" description="Connection to the 'sitrep_Data_Query' query in the workbook." type="5" refreshedVersion="0" background="1">
    <dbPr connection="Provider=Microsoft.Mashup.OleDb.1;Data Source=$Workbook$;Location=sitrep_Data_Query;Extended Properties=&quot;&quot;" command="SELECT * FROM [sitrep_Data_Query]"/>
  </connection>
  <connection id="3" xr16:uid="{AE0B50CE-23F9-47D9-AF18-AAF439145391}" keepAlive="1" name="Query - sitrep_FormEntry_Query" description="Connection to the 'sitrep_FormEntry_Query' query in the workbook." type="5" refreshedVersion="0" background="1">
    <dbPr connection="Provider=Microsoft.Mashup.OleDb.1;Data Source=$Workbook$;Location=sitrep_FormEntry_Query;Extended Properties=&quot;&quot;" command="SELECT * FROM [sitrep_FormEntry_Query]"/>
  </connection>
</connections>
</file>

<file path=xl/sharedStrings.xml><?xml version="1.0" encoding="utf-8"?>
<sst xmlns="http://schemas.openxmlformats.org/spreadsheetml/2006/main" count="291" uniqueCount="109">
  <si>
    <t>Date</t>
  </si>
  <si>
    <t>Status</t>
  </si>
  <si>
    <t>Mission #</t>
  </si>
  <si>
    <t>Base MSN #</t>
  </si>
  <si>
    <t>Aircraft #</t>
  </si>
  <si>
    <t>Scheduled Launch</t>
  </si>
  <si>
    <t xml:space="preserve">Launch Time </t>
  </si>
  <si>
    <t>Recovery Time</t>
  </si>
  <si>
    <t>Hours</t>
  </si>
  <si>
    <t>Tach Time</t>
  </si>
  <si>
    <t>Hover Time</t>
  </si>
  <si>
    <t>Manual Control</t>
  </si>
  <si>
    <t>Payload 1</t>
  </si>
  <si>
    <t>Payload 2</t>
  </si>
  <si>
    <t>Payload 3</t>
  </si>
  <si>
    <t>REASON for Cancel, Abort or Delay</t>
  </si>
  <si>
    <t>Weather</t>
  </si>
  <si>
    <t>Winds</t>
  </si>
  <si>
    <t>OAT</t>
  </si>
  <si>
    <t>Risk Level</t>
  </si>
  <si>
    <t>Reason for Elevated Risk</t>
  </si>
  <si>
    <t>TOIs</t>
  </si>
  <si>
    <t>Notes</t>
  </si>
  <si>
    <t>Staging</t>
  </si>
  <si>
    <t>Complete</t>
  </si>
  <si>
    <t>20251116_01</t>
  </si>
  <si>
    <t>20251116_VB</t>
  </si>
  <si>
    <t>No</t>
  </si>
  <si>
    <t>Dummy</t>
  </si>
  <si>
    <t>Comms Relay-123</t>
  </si>
  <si>
    <t>Weather - Clear</t>
  </si>
  <si>
    <t>070/11</t>
  </si>
  <si>
    <t>Low</t>
  </si>
  <si>
    <t>Fuel In (Actual)</t>
  </si>
  <si>
    <t>Fuel Out  (Actual)</t>
  </si>
  <si>
    <t>Fuel Burn</t>
  </si>
  <si>
    <t>058/17</t>
  </si>
  <si>
    <t>Other</t>
  </si>
  <si>
    <t>258/8</t>
  </si>
  <si>
    <t>EO950</t>
  </si>
  <si>
    <t>305@22kts</t>
  </si>
  <si>
    <t>unscheduled flight</t>
  </si>
  <si>
    <t>Delay - Ship - Other</t>
  </si>
  <si>
    <t>272@22kts</t>
  </si>
  <si>
    <t>CNX</t>
  </si>
  <si>
    <t>Cancelled - Weather - Rain</t>
  </si>
  <si>
    <t>Weather - Rain</t>
  </si>
  <si>
    <t>330@14kts</t>
  </si>
  <si>
    <t>Cancelled - Weather - Low Ceiling</t>
  </si>
  <si>
    <t>Weather - Low Ceiling</t>
  </si>
  <si>
    <t>330@18kts</t>
  </si>
  <si>
    <t>Delay</t>
  </si>
  <si>
    <t>Delay - Back Up AV Used</t>
  </si>
  <si>
    <t>Launch cancelled launch button/launcher issues</t>
  </si>
  <si>
    <t>Delay - Ground Equipment</t>
  </si>
  <si>
    <t>030@10kts</t>
  </si>
  <si>
    <t>Unscheduled flight after night cancelled</t>
  </si>
  <si>
    <t>EO960</t>
  </si>
  <si>
    <t>Weather - Rain - Light</t>
  </si>
  <si>
    <t>335@10kts</t>
  </si>
  <si>
    <t>Delay - Weather - Rain</t>
  </si>
  <si>
    <t>322@12</t>
  </si>
  <si>
    <t>Delayed due to rain ship sped away from shower launched soon after</t>
  </si>
  <si>
    <t>145@11</t>
  </si>
  <si>
    <t>Delayed to to launch pad not connecting/switch pad out and launched</t>
  </si>
  <si>
    <t>Delay - Weather - Rain - Heavy</t>
  </si>
  <si>
    <t>340@12</t>
  </si>
  <si>
    <t>Delayed due to heavy rain as soon as passed launched aircraft</t>
  </si>
  <si>
    <t>320@6</t>
  </si>
  <si>
    <t xml:space="preserve">relief on station aircraft. </t>
  </si>
  <si>
    <t>Delay - Weather - Winds - Gusting</t>
  </si>
  <si>
    <t>Weather - Wind</t>
  </si>
  <si>
    <t>287@13</t>
  </si>
  <si>
    <t>Delayed due to winds exceeding 25kts and gust up to 30kts</t>
  </si>
  <si>
    <t>Cancelled - Equipment Failure</t>
  </si>
  <si>
    <t>198@17</t>
  </si>
  <si>
    <t xml:space="preserve">Aircraft mishap in flight. Lost at sea. </t>
  </si>
  <si>
    <t>Delay - Engine</t>
  </si>
  <si>
    <t>225@18</t>
  </si>
  <si>
    <t>Delayed becouse of above aircrat.</t>
  </si>
  <si>
    <t>Midwing red on enunciation panel during engine run</t>
  </si>
  <si>
    <t>066@10</t>
  </si>
  <si>
    <t xml:space="preserve">After repairs was verified launched to support TOI mission. V-BAT200079 launched for a successful mission event (7.8 hrs). Experienced severe comms degradation at 20-23nm from ship. Multiple loss comms routes were executed until ship was in the &lt;25nm range. Working through the issues in flight, TOI was still located and tracked via V-BAT200079. 1 TOI, 3 people, 2338KG seized. Currently troubleshooting comms issues.  Starlink troubleshooting was successful, and V-BAT200079 files have been sent back for analysis. </t>
  </si>
  <si>
    <t>265@8</t>
  </si>
  <si>
    <t>unscheduled mission to support TOI</t>
  </si>
  <si>
    <t>300@13</t>
  </si>
  <si>
    <t>252@12</t>
  </si>
  <si>
    <t>Cancelled - Weather - Lightning</t>
  </si>
  <si>
    <t>Weather - Lightning</t>
  </si>
  <si>
    <t>delayed for rain/low ceilings and finally cancelled due to lightning/thunderstorms on station</t>
  </si>
  <si>
    <t>Cancelled - Weather - Rain - Heavy</t>
  </si>
  <si>
    <t>Weather - Rain - Heavy</t>
  </si>
  <si>
    <t>Cancelled due to heavy rain and low ceilings</t>
  </si>
  <si>
    <t>Weather - Winds - Gusting</t>
  </si>
  <si>
    <t>330@22</t>
  </si>
  <si>
    <t>Launched early for mission support</t>
  </si>
  <si>
    <t>Delay - Camera Replaced</t>
  </si>
  <si>
    <t>344@19</t>
  </si>
  <si>
    <t>delayed launch for camera issues poor weather conditions had to land early</t>
  </si>
  <si>
    <t>Aircraft came off launcher during engine run tipping over. Loss of aircraft</t>
  </si>
  <si>
    <t>Cancelled - Engine</t>
  </si>
  <si>
    <t>Flight with V-BAT200079 was scheduled for 2000L. After engine runs and high power, pitch and roll of the ship visually looked more drastic than what crew was used to. V-BAT200079 had significant movement inside the launcher and looked very unstable as called out by the AO/AV during engine runs. Multiple checks with the ship confirmed our max limits for both pitch and roll. The entire evolution was halted and a discussion amongst the crew utilizing ORM and sound judgement was conducted. Engine was shut down as ship adjusted course for safety. After a second preflight, V-BAT200079 would not achieve the minimum 6850 RPM during max power checks. Three separate high-power runs were performed on the flight deck with each one failing RPM checks by a significant amount. Engine was shut down and moved in hangar for troubleshooting. Both Injectors, and new vaporizer have been installed. </t>
  </si>
  <si>
    <t>040@16</t>
  </si>
  <si>
    <t>Delayed due to ship speed/manuever around another vessel before restarting preflight for tracking ins. Flight with V-BAT200079 at 1600L (5.5hrs). Investigated ships radar contacts with no suspicious or unusual activity found. Upon landing in 9kt winds, V-BAT200079 overshot the landing pad by approximately 15 feet. V-BAT200079 then stabilized and overflew the pad in the opposite direction and landed 6 feet away from the pad. Reaching out to fleet support for guidance on this issue.</t>
  </si>
  <si>
    <t>345@17</t>
  </si>
  <si>
    <t>290@16</t>
  </si>
  <si>
    <t>unscheduled flight to support mission</t>
  </si>
  <si>
    <t>310@12</t>
  </si>
  <si>
    <t>160@15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</si>
</sst>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32">
    <dxf>
      <numFmt numFmtId="164" formatCode="h:mm;@"/>
    </dxf>
    <dxf>
      <numFmt numFmtId="164" formatCode="h:mm;@"/>
    </dxf>
    <dxf>
      <numFmt numFmtId="164" formatCode="h:mm;@"/>
    </dxf>
    <dxf>
      <numFmt numFmtId="19" formatCode="m/d/yyyy"/>
    </dxf>
    <dxf>
      <fill>
        <patternFill patternType="none">
          <fgColor rgb="FF000000"/>
          <bgColor auto="1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numFmt numFmtId="165" formatCode="[$-F400]h:mm:ss\ AM/PM"/>
      <fill>
        <patternFill patternType="none">
          <fgColor indexed="64"/>
          <bgColor auto="1"/>
        </patternFill>
      </fill>
    </dxf>
    <dxf>
      <numFmt numFmtId="165" formatCode="[$-F400]h:mm:ss\ AM/PM"/>
      <fill>
        <patternFill patternType="none">
          <fgColor indexed="64"/>
          <bgColor auto="1"/>
        </patternFill>
      </fill>
    </dxf>
    <dxf>
      <numFmt numFmtId="165" formatCode="[$-F400]h:mm:ss\ AM/PM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border outline="0">
        <left style="thin">
          <color rgb="FF9BC2E6"/>
        </left>
        <right style="thin">
          <color rgb="FF9BC2E6"/>
        </right>
        <top style="thin">
          <color rgb="FF9BC2E6"/>
        </top>
        <bottom style="thin">
          <color rgb="FF9BC2E6"/>
        </bottom>
      </border>
    </dxf>
    <dxf>
      <fill>
        <patternFill patternType="none">
          <fgColor rgb="FF000000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tts_Laptop\Downloads\Stray%20SITREP%20(1).xlsx" TargetMode="External"/><Relationship Id="rId1" Type="http://schemas.openxmlformats.org/officeDocument/2006/relationships/externalLinkPath" Target="/Users/Matts_Laptop/Downloads/Stray%20SITREP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TREP"/>
      <sheetName val="Equipment Form"/>
      <sheetName val="Parts Tracking"/>
      <sheetName val="SITREP Data"/>
      <sheetName val="Equipment Data"/>
      <sheetName val="USCG JAMES Inventory"/>
      <sheetName val="Parts Usage"/>
      <sheetName val="HelperData"/>
      <sheetName val="USCG MIDGETT Deployed Gear"/>
      <sheetName val="MIDGETT ANC Install"/>
      <sheetName val="Shipments"/>
      <sheetName val="Permanent Install"/>
      <sheetName val="Radios"/>
      <sheetName val="Sheet1"/>
    </sheetNames>
    <sheetDataSet>
      <sheetData sheetId="0">
        <row r="7">
          <cell r="G7">
            <v>44545</v>
          </cell>
        </row>
        <row r="8">
          <cell r="B8" t="str">
            <v>20251216_VB080_01</v>
          </cell>
        </row>
        <row r="12">
          <cell r="B12">
            <v>200080</v>
          </cell>
          <cell r="E12">
            <v>0</v>
          </cell>
          <cell r="G12" t="str">
            <v>Complete</v>
          </cell>
        </row>
        <row r="15">
          <cell r="E15" t="str">
            <v>High</v>
          </cell>
        </row>
        <row r="16">
          <cell r="B16" t="str">
            <v>MWIR 3.6-960202</v>
          </cell>
        </row>
        <row r="26">
          <cell r="B26">
            <v>0.54166666666666663</v>
          </cell>
          <cell r="C26">
            <v>0.58333333333333304</v>
          </cell>
          <cell r="D26">
            <v>0.625</v>
          </cell>
        </row>
        <row r="29">
          <cell r="G29">
            <v>0</v>
          </cell>
        </row>
        <row r="32">
          <cell r="E32">
            <v>360</v>
          </cell>
          <cell r="G32">
            <v>25</v>
          </cell>
        </row>
        <row r="35">
          <cell r="E35">
            <v>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47115F9-4739-4AFD-B85F-0BDCB3A9D3FC}" autoFormatId="16" applyNumberFormats="0" applyBorderFormats="0" applyFontFormats="0" applyPatternFormats="0" applyAlignmentFormats="0" applyWidthHeightFormats="0">
  <queryTableRefresh nextId="27">
    <queryTableFields count="23">
      <queryTableField id="1" name="Date" tableColumnId="1"/>
      <queryTableField id="2" name="Status" tableColumnId="2"/>
      <queryTableField id="3" name="Mission #" tableColumnId="3"/>
      <queryTableField id="4" name="Base MSN #" tableColumnId="4"/>
      <queryTableField id="5" name="Aircraft #" tableColumnId="5"/>
      <queryTableField id="6" name="Scheduled Launch" tableColumnId="6"/>
      <queryTableField id="7" name="Launch Time " tableColumnId="7"/>
      <queryTableField id="8" name="Recovery Time" tableColumnId="8"/>
      <queryTableField id="9" name="Hours" tableColumnId="9"/>
      <queryTableField id="10" name="Tach Time" tableColumnId="10"/>
      <queryTableField id="11" name="Hover Time" tableColumnId="11"/>
      <queryTableField id="12" name="Manual Control" tableColumnId="12"/>
      <queryTableField id="13" name="Payload 1" tableColumnId="13"/>
      <queryTableField id="14" name="Payload 2" tableColumnId="14"/>
      <queryTableField id="15" name="Payload 3" tableColumnId="15"/>
      <queryTableField id="16" name="REASON for Cancel, Abort or Delay" tableColumnId="16"/>
      <queryTableField id="17" name="Weather" tableColumnId="17"/>
      <queryTableField id="18" name="Winds" tableColumnId="18"/>
      <queryTableField id="19" name="OAT" tableColumnId="19"/>
      <queryTableField id="20" name="Risk Level" tableColumnId="20"/>
      <queryTableField id="21" name="Reason for Elevated Risk" tableColumnId="21"/>
      <queryTableField id="25" name="TOIs" tableColumnId="25"/>
      <queryTableField id="26" name="Notes" tableColumnId="26"/>
    </queryTableFields>
    <queryTableDeletedFields count="3">
      <deletedField name="Fuel In (Actual)"/>
      <deletedField name="Fuel Out  (Actual)"/>
      <deletedField name="Fuel Burn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FCC87-29AD-4594-94F1-516A43C0F88D}" name="sitrep_FormEntry" displayName="sitrep_FormEntry" ref="AB2:BA3" totalsRowShown="0" dataDxfId="31" tableBorderDxfId="30">
  <autoFilter ref="AB2:BA3" xr:uid="{2A72B5C5-E169-4CBA-9DD8-D96191212283}"/>
  <tableColumns count="26">
    <tableColumn id="7" xr3:uid="{30A094AC-405A-4B7C-ACD4-1D76D519C08E}" name="Date" dataDxfId="29">
      <calculatedColumnFormula>IF([1]SITREP!$G$8="",[1]SITREP!$G$7,[1]SITREP!G8)</calculatedColumnFormula>
    </tableColumn>
    <tableColumn id="25" xr3:uid="{CB0E7B8B-A3CC-4C51-BD5D-65C5C5CB693B}" name="Status" dataDxfId="28">
      <calculatedColumnFormula>[1]SITREP!G12</calculatedColumnFormula>
    </tableColumn>
    <tableColumn id="8" xr3:uid="{7B0F8A5B-4006-4223-A3A5-5AE752048B82}" name="Mission #" dataDxfId="27">
      <calculatedColumnFormula>[1]SITREP!B8</calculatedColumnFormula>
    </tableColumn>
    <tableColumn id="21" xr3:uid="{17B11BEA-AD74-41E3-BF2D-10588E81DC7A}" name="Base MSN #" dataDxfId="26">
      <calculatedColumnFormula>YEAR(TODAY())&amp;MONTH(TODAY())&amp;DAY(TODAY())&amp;"_VB"&amp;RIGHT([1]SITREP!B12,3)</calculatedColumnFormula>
    </tableColumn>
    <tableColumn id="1" xr3:uid="{33386390-C5EB-4891-A0CB-A3F4D57FD4A6}" name="Aircraft #" dataDxfId="25">
      <calculatedColumnFormula>IF([1]SITREP!B12="","",[1]SITREP!B12)</calculatedColumnFormula>
    </tableColumn>
    <tableColumn id="2" xr3:uid="{140CB849-0283-49D4-BCE5-47DDF875302B}" name="Scheduled Launch" dataDxfId="24">
      <calculatedColumnFormula>[1]SITREP!B26</calculatedColumnFormula>
    </tableColumn>
    <tableColumn id="3" xr3:uid="{7D222047-BFE2-4B6A-A7C2-450529B9CD45}" name="Launch Time " dataDxfId="23">
      <calculatedColumnFormula>[1]SITREP!C26</calculatedColumnFormula>
    </tableColumn>
    <tableColumn id="4" xr3:uid="{63267332-F2F3-4CF7-9708-0B9F033F5D96}" name="Recovery Time" dataDxfId="22">
      <calculatedColumnFormula>[1]SITREP!D26</calculatedColumnFormula>
    </tableColumn>
    <tableColumn id="22" xr3:uid="{69662D84-E9E9-415A-979E-05CD422745F5}" name="Hours" dataDxfId="21">
      <calculatedColumnFormula>[1]SITREP!E12</calculatedColumnFormula>
    </tableColumn>
    <tableColumn id="5" xr3:uid="{8249A45B-56B6-4C5C-ABF2-C4F1CE7CE08D}" name="Tach Time" dataDxfId="20">
      <calculatedColumnFormula>[1]SITREP!E26</calculatedColumnFormula>
    </tableColumn>
    <tableColumn id="6" xr3:uid="{3C4E3577-F124-4945-B5FD-66EA1616566B}" name="Hover Time" dataDxfId="19">
      <calculatedColumnFormula>[1]SITREP!F26</calculatedColumnFormula>
    </tableColumn>
    <tableColumn id="9" xr3:uid="{036CE2D5-90D3-41A0-8B5B-B87E50BBF9C6}" name="Manual Control" dataDxfId="18">
      <calculatedColumnFormula>[1]SITREP!G26</calculatedColumnFormula>
    </tableColumn>
    <tableColumn id="10" xr3:uid="{70647417-8326-4C9F-9A21-4830B63D1958}" name="Payload 1" dataDxfId="17">
      <calculatedColumnFormula>[1]SITREP!B16</calculatedColumnFormula>
    </tableColumn>
    <tableColumn id="23" xr3:uid="{32AD80B0-6741-4595-9630-1518D1B2CCD1}" name="Payload 2" dataDxfId="16">
      <calculatedColumnFormula>[1]SITREP!B18</calculatedColumnFormula>
    </tableColumn>
    <tableColumn id="24" xr3:uid="{84942C91-DEF3-42C5-9A92-4DBA369F7B68}" name="Payload 3" dataDxfId="15">
      <calculatedColumnFormula>[1]SITREP!B20</calculatedColumnFormula>
    </tableColumn>
    <tableColumn id="12" xr3:uid="{60D6DDB1-3806-4788-9536-A47B914D013B}" name="REASON for Cancel, Abort or Delay" dataDxfId="14">
      <calculatedColumnFormula>[1]SITREP!B35</calculatedColumnFormula>
    </tableColumn>
    <tableColumn id="13" xr3:uid="{D243E355-9CE1-404D-B107-28C45DA4DEC0}" name="Weather" dataDxfId="13">
      <calculatedColumnFormula>[1]SITREP!B32</calculatedColumnFormula>
    </tableColumn>
    <tableColumn id="14" xr3:uid="{7C2AD53C-5077-4628-B327-7231F668C121}" name="Winds" dataDxfId="12">
      <calculatedColumnFormula>[1]SITREP!E32&amp;"@"&amp;[1]SITREP!E35</calculatedColumnFormula>
    </tableColumn>
    <tableColumn id="15" xr3:uid="{AA7917DC-2EB9-4207-9D14-D5099A008C91}" name="OAT" dataDxfId="11">
      <calculatedColumnFormula>[1]SITREP!G32</calculatedColumnFormula>
    </tableColumn>
    <tableColumn id="16" xr3:uid="{81B623C8-C15B-4797-9151-04CAC7E08AB6}" name="Risk Level" dataDxfId="10">
      <calculatedColumnFormula>[1]SITREP!E15</calculatedColumnFormula>
    </tableColumn>
    <tableColumn id="17" xr3:uid="{88B0938C-8B94-44DD-B127-3EADA90B05AE}" name="Reason for Elevated Risk" dataDxfId="9">
      <calculatedColumnFormula>IF([1]SITREP!E15="High",[1]SITREP!E18,"")</calculatedColumnFormula>
    </tableColumn>
    <tableColumn id="18" xr3:uid="{4CB05E01-2495-4E4C-8F6F-98C5D6B8DCBA}" name="Fuel In (Actual)" dataDxfId="8">
      <calculatedColumnFormula>[1]SITREP!B29</calculatedColumnFormula>
    </tableColumn>
    <tableColumn id="19" xr3:uid="{73BE0CE8-E78C-448B-9544-9B27776B995C}" name="Fuel Out  (Actual)" dataDxfId="7">
      <calculatedColumnFormula>[1]SITREP!C29</calculatedColumnFormula>
    </tableColumn>
    <tableColumn id="26" xr3:uid="{64E859F7-BF82-44E7-97C2-3C561BC6CC5D}" name="Fuel Burn" dataDxfId="6">
      <calculatedColumnFormula>[1]SITREP!G29</calculatedColumnFormula>
    </tableColumn>
    <tableColumn id="27" xr3:uid="{DB7EE0CF-E9FA-4D46-8C09-C3B667D83D5F}" name="TOIs" dataDxfId="5">
      <calculatedColumnFormula>[1]SITREP!B38</calculatedColumnFormula>
    </tableColumn>
    <tableColumn id="20" xr3:uid="{3B6B7066-AC01-4B54-8E15-22A0F217B182}" name="Notes" dataDxfId="4">
      <calculatedColumnFormula>[1]SITREP!B41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786FA1-5293-42AD-BE73-02EAAB45DE5C}" name="sitrep_Data" displayName="sitrep_Data" ref="A1:W35" tableType="queryTable" totalsRowShown="0">
  <autoFilter ref="A1:W35" xr:uid="{FE0E1051-5F8B-4B88-9D5B-CFCB3AD4B2FA}"/>
  <tableColumns count="23">
    <tableColumn id="1" xr3:uid="{C2643107-A9ED-42A5-A712-CC9520A91FB9}" uniqueName="1" name="Date" queryTableFieldId="1" dataDxfId="3"/>
    <tableColumn id="2" xr3:uid="{3E179091-D734-4B68-8DBB-4A361D47D8F5}" uniqueName="2" name="Status" queryTableFieldId="2"/>
    <tableColumn id="3" xr3:uid="{BDB58C8A-430C-4145-BD80-F2E45BC26DD5}" uniqueName="3" name="Mission #" queryTableFieldId="3"/>
    <tableColumn id="4" xr3:uid="{E237860D-462E-4574-A0BA-E09B3A93D00C}" uniqueName="4" name="Base MSN #" queryTableFieldId="4"/>
    <tableColumn id="5" xr3:uid="{64C6C8B4-5E0A-4081-9166-F11E312DCBF0}" uniqueName="5" name="Aircraft #" queryTableFieldId="5"/>
    <tableColumn id="6" xr3:uid="{FFF936D8-6E35-4020-AE1A-6606F531CAD3}" uniqueName="6" name="Scheduled Launch" queryTableFieldId="6" dataDxfId="2"/>
    <tableColumn id="7" xr3:uid="{86740FA4-D561-44FA-8329-8AC31DD4776E}" uniqueName="7" name="Launch Time " queryTableFieldId="7" dataDxfId="1"/>
    <tableColumn id="8" xr3:uid="{91496186-A772-4E73-AD50-4749208CD28F}" uniqueName="8" name="Recovery Time" queryTableFieldId="8" dataDxfId="0"/>
    <tableColumn id="9" xr3:uid="{8DA62683-1865-4A97-B0C2-50372CA33BC0}" uniqueName="9" name="Hours" queryTableFieldId="9"/>
    <tableColumn id="10" xr3:uid="{692BA668-F58C-440E-A280-BF8572DD2DE7}" uniqueName="10" name="Tach Time" queryTableFieldId="10"/>
    <tableColumn id="11" xr3:uid="{705338AA-251F-462C-8FD5-ECF75005EFA6}" uniqueName="11" name="Hover Time" queryTableFieldId="11"/>
    <tableColumn id="12" xr3:uid="{7D9437A2-2E44-4C0E-89B2-EFE78DE78FB2}" uniqueName="12" name="Manual Control" queryTableFieldId="12"/>
    <tableColumn id="13" xr3:uid="{66DB92ED-57E5-4CF6-AF19-9C9BC7734BFA}" uniqueName="13" name="Payload 1" queryTableFieldId="13"/>
    <tableColumn id="14" xr3:uid="{E4A7F0B6-9E4C-4117-B6AF-CB10060FEB28}" uniqueName="14" name="Payload 2" queryTableFieldId="14"/>
    <tableColumn id="15" xr3:uid="{4966835E-F08F-48CD-BBCE-D5CA713482F3}" uniqueName="15" name="Payload 3" queryTableFieldId="15"/>
    <tableColumn id="16" xr3:uid="{58DA6075-2558-4FA1-998A-929A2EE009EE}" uniqueName="16" name="REASON for Cancel, Abort or Delay" queryTableFieldId="16"/>
    <tableColumn id="17" xr3:uid="{A65A73CF-15A7-46F4-8334-15096AFFDD6B}" uniqueName="17" name="Weather" queryTableFieldId="17"/>
    <tableColumn id="18" xr3:uid="{B55DD9A6-B7B4-4E88-83D9-06765B0B856D}" uniqueName="18" name="Winds" queryTableFieldId="18"/>
    <tableColumn id="19" xr3:uid="{ABF9D170-4E34-4CA9-B613-9E357B3BA56A}" uniqueName="19" name="OAT" queryTableFieldId="19"/>
    <tableColumn id="20" xr3:uid="{1863B34B-BB04-408C-8764-336FFFAA427C}" uniqueName="20" name="Risk Level" queryTableFieldId="20"/>
    <tableColumn id="21" xr3:uid="{FD2B6D55-F5E2-4762-8066-E5DD01516E71}" uniqueName="21" name="Reason for Elevated Risk" queryTableFieldId="21"/>
    <tableColumn id="25" xr3:uid="{94EDA5B3-9BF8-47B3-B8CD-AC6E2314AA3D}" uniqueName="25" name="TOIs" queryTableFieldId="25"/>
    <tableColumn id="26" xr3:uid="{6BE97D86-FD16-4307-8FE5-9A1A87A911DA}" uniqueName="26" name="Notes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262F-C6D6-4A8D-8687-5F2E1D65B28E}">
  <dimension ref="A1:BA35"/>
  <sheetViews>
    <sheetView tabSelected="1" workbookViewId="0">
      <selection sqref="A1:A1048576"/>
    </sheetView>
  </sheetViews>
  <sheetFormatPr defaultRowHeight="14.4" x14ac:dyDescent="0.55000000000000004"/>
  <cols>
    <col min="1" max="1" width="10.15625" bestFit="1" customWidth="1"/>
    <col min="2" max="2" width="9.83984375" bestFit="1" customWidth="1"/>
    <col min="3" max="3" width="12.1015625" bestFit="1" customWidth="1"/>
    <col min="4" max="4" width="13.578125" bestFit="1" customWidth="1"/>
    <col min="5" max="5" width="11.26171875" bestFit="1" customWidth="1"/>
    <col min="6" max="6" width="19.26171875" bestFit="1" customWidth="1"/>
    <col min="7" max="7" width="14.734375" bestFit="1" customWidth="1"/>
    <col min="8" max="8" width="16.41796875" bestFit="1" customWidth="1"/>
    <col min="9" max="9" width="8.41796875" bestFit="1" customWidth="1"/>
    <col min="10" max="10" width="12.1015625" bestFit="1" customWidth="1"/>
    <col min="11" max="11" width="13.41796875" bestFit="1" customWidth="1"/>
    <col min="12" max="12" width="17.1015625" bestFit="1" customWidth="1"/>
    <col min="13" max="14" width="16.26171875" bestFit="1" customWidth="1"/>
    <col min="15" max="15" width="16.83984375" bestFit="1" customWidth="1"/>
    <col min="16" max="16" width="34.26171875" bestFit="1" customWidth="1"/>
    <col min="17" max="17" width="24.578125" bestFit="1" customWidth="1"/>
    <col min="18" max="18" width="9" bestFit="1" customWidth="1"/>
    <col min="19" max="19" width="7" bestFit="1" customWidth="1"/>
    <col min="20" max="20" width="12" bestFit="1" customWidth="1"/>
    <col min="21" max="21" width="25.26171875" bestFit="1" customWidth="1"/>
    <col min="22" max="22" width="7.1015625" bestFit="1" customWidth="1"/>
    <col min="23" max="23" width="44" customWidth="1"/>
    <col min="24" max="27" width="9.1015625" customWidth="1"/>
    <col min="28" max="29" width="12.83984375" customWidth="1"/>
    <col min="30" max="30" width="18.734375" bestFit="1" customWidth="1"/>
    <col min="31" max="31" width="16.578125" customWidth="1"/>
    <col min="32" max="32" width="15.83984375" customWidth="1"/>
    <col min="33" max="34" width="11" customWidth="1"/>
    <col min="35" max="35" width="11.1015625" customWidth="1"/>
    <col min="36" max="36" width="11.83984375" customWidth="1"/>
    <col min="37" max="37" width="12.734375" customWidth="1"/>
    <col min="38" max="38" width="13.41796875" customWidth="1"/>
    <col min="43" max="43" width="25.1015625" customWidth="1"/>
  </cols>
  <sheetData>
    <row r="1" spans="1:5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AB1" t="s">
        <v>23</v>
      </c>
    </row>
    <row r="2" spans="1:53" x14ac:dyDescent="0.55000000000000004">
      <c r="A2" s="1">
        <f ca="1">IF(sitrep_Data[[#This Row],[Date]]="","",sitrep_Data[[#This Row],[Date]])</f>
        <v>44413</v>
      </c>
      <c r="B2" t="s">
        <v>24</v>
      </c>
      <c r="C2" t="s">
        <v>25</v>
      </c>
      <c r="D2" t="s">
        <v>26</v>
      </c>
      <c r="E2">
        <v>200079</v>
      </c>
      <c r="F2" s="2">
        <v>44413.472222222219</v>
      </c>
      <c r="G2" s="2">
        <v>0.47222222222222221</v>
      </c>
      <c r="H2" s="2">
        <v>0.50277777777777777</v>
      </c>
      <c r="I2">
        <v>0.73</v>
      </c>
      <c r="J2">
        <v>1.1000000000000001</v>
      </c>
      <c r="K2">
        <v>0.1</v>
      </c>
      <c r="L2" t="s">
        <v>27</v>
      </c>
      <c r="M2" t="s">
        <v>28</v>
      </c>
      <c r="N2" t="s">
        <v>29</v>
      </c>
      <c r="Q2" t="s">
        <v>30</v>
      </c>
      <c r="R2" t="s">
        <v>31</v>
      </c>
      <c r="S2">
        <v>33</v>
      </c>
      <c r="T2" t="s">
        <v>32</v>
      </c>
      <c r="V2">
        <v>0</v>
      </c>
      <c r="AB2" t="s">
        <v>0</v>
      </c>
      <c r="AC2" t="s">
        <v>1</v>
      </c>
      <c r="AD2" t="s">
        <v>2</v>
      </c>
      <c r="AE2" t="s">
        <v>3</v>
      </c>
      <c r="AF2" t="s">
        <v>4</v>
      </c>
      <c r="AG2" t="s">
        <v>5</v>
      </c>
      <c r="AH2" t="s">
        <v>6</v>
      </c>
      <c r="AI2" t="s">
        <v>7</v>
      </c>
      <c r="AJ2" t="s">
        <v>8</v>
      </c>
      <c r="AK2" t="s">
        <v>9</v>
      </c>
      <c r="AL2" t="s">
        <v>10</v>
      </c>
      <c r="AM2" t="s">
        <v>11</v>
      </c>
      <c r="AN2" t="s">
        <v>12</v>
      </c>
      <c r="AO2" t="s">
        <v>13</v>
      </c>
      <c r="AP2" t="s">
        <v>14</v>
      </c>
      <c r="AQ2" t="s">
        <v>15</v>
      </c>
      <c r="AR2" t="s">
        <v>16</v>
      </c>
      <c r="AS2" t="s">
        <v>17</v>
      </c>
      <c r="AT2" t="s">
        <v>18</v>
      </c>
      <c r="AU2" t="s">
        <v>19</v>
      </c>
      <c r="AV2" t="s">
        <v>20</v>
      </c>
      <c r="AW2" t="s">
        <v>33</v>
      </c>
      <c r="AX2" t="s">
        <v>34</v>
      </c>
      <c r="AY2" t="s">
        <v>35</v>
      </c>
      <c r="AZ2" t="s">
        <v>21</v>
      </c>
      <c r="BA2" t="s">
        <v>22</v>
      </c>
    </row>
    <row r="3" spans="1:53" x14ac:dyDescent="0.55000000000000004">
      <c r="A3" s="1">
        <f ca="1">IF(sitrep_Data[[#This Row],[Date]]="","",sitrep_Data[[#This Row],[Date]])</f>
        <v>44414</v>
      </c>
      <c r="B3" t="s">
        <v>24</v>
      </c>
      <c r="E3">
        <v>200080</v>
      </c>
      <c r="F3" s="2">
        <v>0.34027777777777779</v>
      </c>
      <c r="G3" s="2">
        <v>0.34027777777777779</v>
      </c>
      <c r="H3" s="2">
        <v>0.39583333333333331</v>
      </c>
      <c r="I3">
        <v>1.33</v>
      </c>
      <c r="J3">
        <v>1.4</v>
      </c>
      <c r="K3">
        <v>0.1</v>
      </c>
      <c r="L3" t="s">
        <v>27</v>
      </c>
      <c r="M3" t="s">
        <v>28</v>
      </c>
      <c r="N3" t="s">
        <v>29</v>
      </c>
      <c r="Q3" t="s">
        <v>30</v>
      </c>
      <c r="R3" t="s">
        <v>36</v>
      </c>
      <c r="S3">
        <v>26</v>
      </c>
      <c r="T3" t="s">
        <v>32</v>
      </c>
      <c r="AB3" s="3">
        <f ca="1">IF([1]SITREP!$G$8="",[1]SITREP!$G$7,[1]SITREP!G8)</f>
        <v>44545</v>
      </c>
      <c r="AC3" s="3" t="str">
        <f>[1]SITREP!G12</f>
        <v>Complete</v>
      </c>
      <c r="AD3" s="3" t="str">
        <f ca="1">[1]SITREP!B8</f>
        <v>20251216_VB080_01</v>
      </c>
      <c r="AE3" s="3" t="str">
        <f ca="1">YEAR(TODAY())&amp;MONTH(TODAY())&amp;DAY(TODAY())&amp;"_VB"&amp;RIGHT([1]SITREP!B12,3)</f>
        <v>20251216_VB080</v>
      </c>
      <c r="AF3">
        <f>IF([1]SITREP!B12="","",[1]SITREP!B12)</f>
        <v>200080</v>
      </c>
      <c r="AG3" s="4">
        <f>[1]SITREP!B26</f>
        <v>0.54166666666666663</v>
      </c>
      <c r="AH3" s="4">
        <f>[1]SITREP!C26</f>
        <v>0.58333333333333304</v>
      </c>
      <c r="AI3" s="4">
        <f>[1]SITREP!D26</f>
        <v>0.625</v>
      </c>
      <c r="AJ3" s="3">
        <f>[1]SITREP!E12</f>
        <v>0</v>
      </c>
      <c r="AK3">
        <f>[1]SITREP!E26</f>
        <v>0</v>
      </c>
      <c r="AL3">
        <f>[1]SITREP!F26</f>
        <v>0</v>
      </c>
      <c r="AM3">
        <f>[1]SITREP!G26</f>
        <v>0</v>
      </c>
      <c r="AN3" t="str">
        <f>[1]SITREP!B16</f>
        <v>MWIR 3.6-960202</v>
      </c>
      <c r="AO3">
        <f>[1]SITREP!B18</f>
        <v>0</v>
      </c>
      <c r="AP3">
        <f>[1]SITREP!B20</f>
        <v>0</v>
      </c>
      <c r="AQ3">
        <f>[1]SITREP!B35</f>
        <v>0</v>
      </c>
      <c r="AR3">
        <f>[1]SITREP!B32</f>
        <v>0</v>
      </c>
      <c r="AS3" t="str">
        <f>[1]SITREP!E32&amp;"@"&amp;[1]SITREP!E35</f>
        <v>360@10</v>
      </c>
      <c r="AT3">
        <f>[1]SITREP!G32</f>
        <v>25</v>
      </c>
      <c r="AU3" t="str">
        <f>[1]SITREP!E15</f>
        <v>High</v>
      </c>
      <c r="AV3">
        <f>IF([1]SITREP!E15="High",[1]SITREP!E18,"")</f>
        <v>0</v>
      </c>
      <c r="AW3">
        <f>[1]SITREP!B29</f>
        <v>0</v>
      </c>
      <c r="AX3">
        <f>[1]SITREP!C29</f>
        <v>0</v>
      </c>
      <c r="AY3" s="3">
        <f>[1]SITREP!G29</f>
        <v>0</v>
      </c>
      <c r="AZ3" s="3">
        <f>[1]SITREP!B38</f>
        <v>0</v>
      </c>
      <c r="BA3">
        <f>[1]SITREP!B41</f>
        <v>0</v>
      </c>
    </row>
    <row r="4" spans="1:53" x14ac:dyDescent="0.55000000000000004">
      <c r="A4" s="1">
        <f ca="1">IF(sitrep_Data[[#This Row],[Date]]="","",sitrep_Data[[#This Row],[Date]])</f>
        <v>44414</v>
      </c>
      <c r="B4" t="s">
        <v>24</v>
      </c>
      <c r="E4">
        <v>200079</v>
      </c>
      <c r="F4" s="2">
        <v>0.52083333333333337</v>
      </c>
      <c r="G4" s="2">
        <v>0.52083333333333337</v>
      </c>
      <c r="H4" s="2">
        <v>0.625</v>
      </c>
      <c r="I4">
        <v>2.5</v>
      </c>
      <c r="J4">
        <v>3</v>
      </c>
      <c r="K4">
        <v>0.1</v>
      </c>
      <c r="L4" t="s">
        <v>27</v>
      </c>
      <c r="M4" t="s">
        <v>37</v>
      </c>
      <c r="N4" t="s">
        <v>29</v>
      </c>
      <c r="Q4" t="s">
        <v>30</v>
      </c>
      <c r="R4" t="s">
        <v>38</v>
      </c>
      <c r="S4">
        <v>26.6</v>
      </c>
      <c r="T4" t="s">
        <v>32</v>
      </c>
    </row>
    <row r="5" spans="1:53" x14ac:dyDescent="0.55000000000000004">
      <c r="A5" s="1">
        <f ca="1">IF(sitrep_Data[[#This Row],[Date]]="","",sitrep_Data[[#This Row],[Date]])</f>
        <v>44453</v>
      </c>
      <c r="B5" t="s">
        <v>24</v>
      </c>
      <c r="E5">
        <v>200085</v>
      </c>
      <c r="F5" s="2">
        <v>0.62291666666666667</v>
      </c>
      <c r="G5" s="2">
        <v>0.62291666666666667</v>
      </c>
      <c r="H5" s="2">
        <v>0.78194444444444444</v>
      </c>
      <c r="I5">
        <v>3.82</v>
      </c>
      <c r="J5">
        <v>4.0999999999999996</v>
      </c>
      <c r="K5">
        <v>0.1</v>
      </c>
      <c r="L5" t="s">
        <v>27</v>
      </c>
      <c r="M5" t="s">
        <v>39</v>
      </c>
      <c r="N5" t="s">
        <v>29</v>
      </c>
      <c r="Q5" t="s">
        <v>30</v>
      </c>
      <c r="R5" t="s">
        <v>40</v>
      </c>
      <c r="S5">
        <v>32</v>
      </c>
      <c r="T5" t="s">
        <v>32</v>
      </c>
      <c r="W5" t="s">
        <v>41</v>
      </c>
    </row>
    <row r="6" spans="1:53" x14ac:dyDescent="0.55000000000000004">
      <c r="A6" s="1">
        <f ca="1">IF(sitrep_Data[[#This Row],[Date]]="","",sitrep_Data[[#This Row],[Date]])</f>
        <v>44454</v>
      </c>
      <c r="B6" t="s">
        <v>24</v>
      </c>
      <c r="E6">
        <v>200085</v>
      </c>
      <c r="F6" s="2">
        <v>0.5</v>
      </c>
      <c r="G6" s="2">
        <v>0.51736111111111116</v>
      </c>
      <c r="H6" s="2">
        <v>0.80486111111111114</v>
      </c>
      <c r="I6">
        <v>6.9</v>
      </c>
      <c r="J6">
        <v>7.1</v>
      </c>
      <c r="K6">
        <v>0.1</v>
      </c>
      <c r="L6" t="s">
        <v>27</v>
      </c>
      <c r="M6" t="s">
        <v>39</v>
      </c>
      <c r="N6" t="s">
        <v>29</v>
      </c>
      <c r="P6" t="s">
        <v>42</v>
      </c>
      <c r="Q6" t="s">
        <v>30</v>
      </c>
      <c r="R6" t="s">
        <v>43</v>
      </c>
      <c r="S6">
        <v>32</v>
      </c>
      <c r="T6" t="s">
        <v>32</v>
      </c>
    </row>
    <row r="7" spans="1:53" x14ac:dyDescent="0.55000000000000004">
      <c r="A7" s="1">
        <f ca="1">IF(sitrep_Data[[#This Row],[Date]]="","",sitrep_Data[[#This Row],[Date]])</f>
        <v>44460</v>
      </c>
      <c r="B7" t="s">
        <v>44</v>
      </c>
      <c r="E7">
        <v>200080</v>
      </c>
      <c r="F7" s="2">
        <v>0</v>
      </c>
      <c r="G7" s="2"/>
      <c r="H7" s="2"/>
      <c r="I7">
        <v>0</v>
      </c>
      <c r="P7" t="s">
        <v>45</v>
      </c>
      <c r="Q7" t="s">
        <v>46</v>
      </c>
      <c r="R7" t="s">
        <v>47</v>
      </c>
      <c r="S7">
        <v>26</v>
      </c>
      <c r="T7" t="s">
        <v>32</v>
      </c>
    </row>
    <row r="8" spans="1:53" x14ac:dyDescent="0.55000000000000004">
      <c r="A8" s="1">
        <f ca="1">IF(sitrep_Data[[#This Row],[Date]]="","",sitrep_Data[[#This Row],[Date]])</f>
        <v>44461</v>
      </c>
      <c r="B8" t="s">
        <v>44</v>
      </c>
      <c r="E8">
        <v>200080</v>
      </c>
      <c r="F8" s="2">
        <v>0.83333333333333337</v>
      </c>
      <c r="G8" s="2"/>
      <c r="H8" s="2"/>
      <c r="I8">
        <v>0</v>
      </c>
      <c r="P8" t="s">
        <v>48</v>
      </c>
      <c r="Q8" t="s">
        <v>49</v>
      </c>
      <c r="R8" t="s">
        <v>50</v>
      </c>
      <c r="S8">
        <v>28</v>
      </c>
      <c r="T8" t="s">
        <v>32</v>
      </c>
      <c r="AB8" s="3"/>
      <c r="AC8" s="3"/>
      <c r="AD8" s="3"/>
      <c r="AE8" s="3"/>
    </row>
    <row r="9" spans="1:53" x14ac:dyDescent="0.55000000000000004">
      <c r="A9" s="1">
        <f ca="1">IF(sitrep_Data[[#This Row],[Date]]="","",sitrep_Data[[#This Row],[Date]])</f>
        <v>44462</v>
      </c>
      <c r="B9" t="s">
        <v>44</v>
      </c>
      <c r="E9">
        <v>200080</v>
      </c>
      <c r="F9" s="2">
        <v>0</v>
      </c>
      <c r="G9" s="2"/>
      <c r="H9" s="2"/>
      <c r="I9">
        <v>0</v>
      </c>
      <c r="P9" t="s">
        <v>48</v>
      </c>
      <c r="Q9" t="s">
        <v>49</v>
      </c>
    </row>
    <row r="10" spans="1:53" x14ac:dyDescent="0.55000000000000004">
      <c r="A10" s="1">
        <f ca="1">IF(sitrep_Data[[#This Row],[Date]]="","",sitrep_Data[[#This Row],[Date]])</f>
        <v>44463</v>
      </c>
      <c r="B10" t="s">
        <v>51</v>
      </c>
      <c r="E10">
        <v>200080</v>
      </c>
      <c r="F10" s="2">
        <v>0</v>
      </c>
      <c r="G10" s="2"/>
      <c r="H10" s="2"/>
      <c r="I10">
        <v>0</v>
      </c>
      <c r="P10" t="s">
        <v>52</v>
      </c>
      <c r="W10" t="s">
        <v>53</v>
      </c>
    </row>
    <row r="11" spans="1:53" x14ac:dyDescent="0.55000000000000004">
      <c r="A11" s="1">
        <f ca="1">IF(sitrep_Data[[#This Row],[Date]]="","",sitrep_Data[[#This Row],[Date]])</f>
        <v>44463</v>
      </c>
      <c r="B11" t="s">
        <v>51</v>
      </c>
      <c r="E11">
        <v>200079</v>
      </c>
      <c r="F11" s="2"/>
      <c r="G11" s="2">
        <v>0.3263888888888889</v>
      </c>
      <c r="H11" s="2">
        <v>0.59513888888888888</v>
      </c>
      <c r="I11">
        <v>6.45</v>
      </c>
      <c r="J11">
        <v>6.8</v>
      </c>
      <c r="K11">
        <v>0.1</v>
      </c>
      <c r="L11" t="s">
        <v>27</v>
      </c>
      <c r="M11" t="s">
        <v>39</v>
      </c>
      <c r="N11" t="s">
        <v>29</v>
      </c>
      <c r="P11" t="s">
        <v>54</v>
      </c>
      <c r="Q11" t="s">
        <v>49</v>
      </c>
      <c r="R11" t="s">
        <v>55</v>
      </c>
      <c r="S11">
        <v>30</v>
      </c>
      <c r="T11" t="s">
        <v>32</v>
      </c>
      <c r="W11" t="s">
        <v>56</v>
      </c>
    </row>
    <row r="12" spans="1:53" x14ac:dyDescent="0.55000000000000004">
      <c r="A12" s="1">
        <f ca="1">IF(sitrep_Data[[#This Row],[Date]]="","",sitrep_Data[[#This Row],[Date]])</f>
        <v>44464</v>
      </c>
      <c r="B12" t="s">
        <v>24</v>
      </c>
      <c r="E12">
        <v>200080</v>
      </c>
      <c r="F12" s="2"/>
      <c r="G12" s="2">
        <v>0.79652777777777772</v>
      </c>
      <c r="H12" s="2">
        <v>0.9868055555555556</v>
      </c>
      <c r="I12">
        <v>4.57</v>
      </c>
      <c r="J12">
        <v>4.8</v>
      </c>
      <c r="K12">
        <v>0.1</v>
      </c>
      <c r="L12" t="s">
        <v>27</v>
      </c>
      <c r="M12" t="s">
        <v>57</v>
      </c>
      <c r="N12" t="s">
        <v>29</v>
      </c>
      <c r="Q12" t="s">
        <v>58</v>
      </c>
      <c r="R12" t="s">
        <v>59</v>
      </c>
      <c r="S12">
        <v>28</v>
      </c>
      <c r="T12" t="s">
        <v>32</v>
      </c>
      <c r="W12" t="s">
        <v>41</v>
      </c>
    </row>
    <row r="13" spans="1:53" x14ac:dyDescent="0.55000000000000004">
      <c r="A13" s="1">
        <f ca="1">IF(sitrep_Data[[#This Row],[Date]]="","",sitrep_Data[[#This Row],[Date]])</f>
        <v>44465</v>
      </c>
      <c r="B13" t="s">
        <v>51</v>
      </c>
      <c r="E13">
        <v>200080</v>
      </c>
      <c r="F13" s="2">
        <v>0.79166666666666663</v>
      </c>
      <c r="G13" s="2">
        <v>0.8125</v>
      </c>
      <c r="H13" s="2">
        <v>0.9819444444444444</v>
      </c>
      <c r="I13">
        <v>4.07</v>
      </c>
      <c r="J13">
        <v>4.2</v>
      </c>
      <c r="K13">
        <v>0.1</v>
      </c>
      <c r="L13" t="s">
        <v>27</v>
      </c>
      <c r="M13" t="s">
        <v>57</v>
      </c>
      <c r="N13" t="s">
        <v>29</v>
      </c>
      <c r="P13" t="s">
        <v>60</v>
      </c>
      <c r="Q13" t="s">
        <v>58</v>
      </c>
      <c r="R13" t="s">
        <v>61</v>
      </c>
      <c r="S13">
        <v>30</v>
      </c>
      <c r="T13" t="s">
        <v>32</v>
      </c>
      <c r="W13" t="s">
        <v>62</v>
      </c>
    </row>
    <row r="14" spans="1:53" x14ac:dyDescent="0.55000000000000004">
      <c r="A14" s="1">
        <f ca="1">IF(sitrep_Data[[#This Row],[Date]]="","",sitrep_Data[[#This Row],[Date]])</f>
        <v>44467</v>
      </c>
      <c r="B14" t="s">
        <v>51</v>
      </c>
      <c r="E14">
        <v>200080</v>
      </c>
      <c r="F14" s="2">
        <v>0.16666666666666666</v>
      </c>
      <c r="G14" s="2">
        <v>0.19236111111111112</v>
      </c>
      <c r="H14" s="2">
        <v>0.49583333333333335</v>
      </c>
      <c r="I14">
        <v>7.28</v>
      </c>
      <c r="J14">
        <v>7.5</v>
      </c>
      <c r="K14">
        <v>0.1</v>
      </c>
      <c r="L14" t="s">
        <v>27</v>
      </c>
      <c r="M14" t="s">
        <v>57</v>
      </c>
      <c r="N14" t="s">
        <v>29</v>
      </c>
      <c r="P14" t="s">
        <v>54</v>
      </c>
      <c r="Q14" t="s">
        <v>58</v>
      </c>
      <c r="R14" t="s">
        <v>63</v>
      </c>
      <c r="S14">
        <v>28</v>
      </c>
      <c r="T14" t="s">
        <v>32</v>
      </c>
      <c r="W14" t="s">
        <v>64</v>
      </c>
    </row>
    <row r="15" spans="1:53" x14ac:dyDescent="0.55000000000000004">
      <c r="A15" s="1">
        <f ca="1">IF(sitrep_Data[[#This Row],[Date]]="","",sitrep_Data[[#This Row],[Date]])</f>
        <v>44468</v>
      </c>
      <c r="B15" t="s">
        <v>51</v>
      </c>
      <c r="E15">
        <v>200080</v>
      </c>
      <c r="F15" s="2">
        <v>0.41666666666666669</v>
      </c>
      <c r="G15" s="2">
        <v>0.44097222222222221</v>
      </c>
      <c r="H15" s="2">
        <v>0.6479166666666667</v>
      </c>
      <c r="I15">
        <v>4.97</v>
      </c>
      <c r="J15">
        <v>5.2</v>
      </c>
      <c r="K15">
        <v>0.1</v>
      </c>
      <c r="L15" t="s">
        <v>27</v>
      </c>
      <c r="M15" t="s">
        <v>57</v>
      </c>
      <c r="N15" t="s">
        <v>29</v>
      </c>
      <c r="P15" t="s">
        <v>65</v>
      </c>
      <c r="Q15" t="s">
        <v>58</v>
      </c>
      <c r="R15" t="s">
        <v>66</v>
      </c>
      <c r="S15">
        <v>29</v>
      </c>
      <c r="T15" t="s">
        <v>32</v>
      </c>
      <c r="W15" t="s">
        <v>67</v>
      </c>
    </row>
    <row r="16" spans="1:53" x14ac:dyDescent="0.55000000000000004">
      <c r="A16" s="1">
        <f ca="1">IF(sitrep_Data[[#This Row],[Date]]="","",sitrep_Data[[#This Row],[Date]])</f>
        <v>44468</v>
      </c>
      <c r="B16" t="s">
        <v>24</v>
      </c>
      <c r="E16">
        <v>200079</v>
      </c>
      <c r="F16" s="2"/>
      <c r="G16" s="2">
        <v>0.60902777777777772</v>
      </c>
      <c r="H16" s="2">
        <v>0.77083333333333337</v>
      </c>
      <c r="I16">
        <v>3.88</v>
      </c>
      <c r="J16">
        <v>4.0999999999999996</v>
      </c>
      <c r="K16">
        <v>0.1</v>
      </c>
      <c r="L16" t="s">
        <v>27</v>
      </c>
      <c r="M16" t="s">
        <v>39</v>
      </c>
      <c r="N16" t="s">
        <v>29</v>
      </c>
      <c r="Q16" t="s">
        <v>30</v>
      </c>
      <c r="R16" t="s">
        <v>68</v>
      </c>
      <c r="S16">
        <v>23.9</v>
      </c>
      <c r="T16" t="s">
        <v>32</v>
      </c>
      <c r="W16" t="s">
        <v>69</v>
      </c>
    </row>
    <row r="17" spans="1:23" x14ac:dyDescent="0.55000000000000004">
      <c r="A17" s="1">
        <f ca="1">IF(sitrep_Data[[#This Row],[Date]]="","",sitrep_Data[[#This Row],[Date]])</f>
        <v>44470</v>
      </c>
      <c r="B17" t="s">
        <v>51</v>
      </c>
      <c r="E17">
        <v>200080</v>
      </c>
      <c r="F17" s="2">
        <v>0.54166666666666663</v>
      </c>
      <c r="G17" s="2">
        <v>0.5625</v>
      </c>
      <c r="H17" s="2">
        <v>0.88888888888888884</v>
      </c>
      <c r="I17">
        <v>7.83</v>
      </c>
      <c r="J17">
        <v>8</v>
      </c>
      <c r="K17">
        <v>0.1</v>
      </c>
      <c r="L17" t="s">
        <v>27</v>
      </c>
      <c r="M17" t="s">
        <v>57</v>
      </c>
      <c r="N17" t="s">
        <v>29</v>
      </c>
      <c r="P17" t="s">
        <v>70</v>
      </c>
      <c r="Q17" t="s">
        <v>71</v>
      </c>
      <c r="R17" t="s">
        <v>72</v>
      </c>
      <c r="S17">
        <v>28.5</v>
      </c>
      <c r="T17" t="s">
        <v>32</v>
      </c>
      <c r="W17" t="s">
        <v>73</v>
      </c>
    </row>
    <row r="18" spans="1:23" x14ac:dyDescent="0.55000000000000004">
      <c r="A18" s="1">
        <f ca="1">IF(sitrep_Data[[#This Row],[Date]]="","",sitrep_Data[[#This Row],[Date]])</f>
        <v>44472</v>
      </c>
      <c r="B18" t="s">
        <v>44</v>
      </c>
      <c r="E18">
        <v>200080</v>
      </c>
      <c r="F18" s="2">
        <v>0.70833333333333337</v>
      </c>
      <c r="G18" s="2">
        <v>0.71180555555555558</v>
      </c>
      <c r="H18" s="2">
        <v>0.71250000000000002</v>
      </c>
      <c r="I18">
        <v>0.02</v>
      </c>
      <c r="J18">
        <v>0.2</v>
      </c>
      <c r="K18">
        <v>0.1</v>
      </c>
      <c r="L18" t="s">
        <v>27</v>
      </c>
      <c r="M18" t="s">
        <v>57</v>
      </c>
      <c r="N18" t="s">
        <v>29</v>
      </c>
      <c r="P18" t="s">
        <v>74</v>
      </c>
      <c r="R18" t="s">
        <v>75</v>
      </c>
      <c r="S18">
        <v>28.2</v>
      </c>
      <c r="T18" t="s">
        <v>32</v>
      </c>
      <c r="W18" t="s">
        <v>76</v>
      </c>
    </row>
    <row r="19" spans="1:23" x14ac:dyDescent="0.55000000000000004">
      <c r="A19" s="1">
        <f ca="1">IF(sitrep_Data[[#This Row],[Date]]="","",sitrep_Data[[#This Row],[Date]])</f>
        <v>44473</v>
      </c>
      <c r="B19" t="s">
        <v>51</v>
      </c>
      <c r="E19">
        <v>200079</v>
      </c>
      <c r="F19" s="2">
        <v>0.54166666666666663</v>
      </c>
      <c r="G19" s="2">
        <v>0.57638888888888884</v>
      </c>
      <c r="H19" s="2">
        <v>0.79861111111111116</v>
      </c>
      <c r="I19">
        <v>5.33</v>
      </c>
      <c r="J19">
        <v>5.5</v>
      </c>
      <c r="K19">
        <v>0.1</v>
      </c>
      <c r="L19" t="s">
        <v>27</v>
      </c>
      <c r="M19" t="s">
        <v>39</v>
      </c>
      <c r="N19" t="s">
        <v>29</v>
      </c>
      <c r="P19" t="s">
        <v>77</v>
      </c>
      <c r="Q19" t="s">
        <v>71</v>
      </c>
      <c r="R19" t="s">
        <v>78</v>
      </c>
      <c r="S19">
        <v>29</v>
      </c>
      <c r="T19" t="s">
        <v>32</v>
      </c>
      <c r="W19" t="s">
        <v>79</v>
      </c>
    </row>
    <row r="20" spans="1:23" x14ac:dyDescent="0.55000000000000004">
      <c r="A20" s="1">
        <f ca="1">IF(sitrep_Data[[#This Row],[Date]]="","",sitrep_Data[[#This Row],[Date]])</f>
        <v>44474</v>
      </c>
      <c r="B20" t="s">
        <v>44</v>
      </c>
      <c r="E20">
        <v>200085</v>
      </c>
      <c r="F20" s="2">
        <v>0.29166666666666669</v>
      </c>
      <c r="G20" s="2"/>
      <c r="H20" s="2"/>
      <c r="I20">
        <v>0</v>
      </c>
      <c r="P20" t="s">
        <v>74</v>
      </c>
      <c r="W20" t="s">
        <v>80</v>
      </c>
    </row>
    <row r="21" spans="1:23" x14ac:dyDescent="0.55000000000000004">
      <c r="A21" s="1">
        <f ca="1">IF(sitrep_Data[[#This Row],[Date]]="","",sitrep_Data[[#This Row],[Date]])</f>
        <v>44475</v>
      </c>
      <c r="B21" t="s">
        <v>24</v>
      </c>
      <c r="E21">
        <v>200079</v>
      </c>
      <c r="F21" s="2"/>
      <c r="G21" s="2">
        <v>0.32291666666666669</v>
      </c>
      <c r="H21" s="2">
        <v>0.64652777777777781</v>
      </c>
      <c r="I21">
        <v>7.77</v>
      </c>
      <c r="J21">
        <v>8</v>
      </c>
      <c r="K21">
        <v>0.1</v>
      </c>
      <c r="L21" t="s">
        <v>27</v>
      </c>
      <c r="M21" t="s">
        <v>39</v>
      </c>
      <c r="N21" t="s">
        <v>29</v>
      </c>
      <c r="Q21" t="s">
        <v>30</v>
      </c>
      <c r="R21" t="s">
        <v>81</v>
      </c>
      <c r="S21">
        <v>28.3</v>
      </c>
      <c r="T21" t="s">
        <v>32</v>
      </c>
      <c r="W21" t="s">
        <v>82</v>
      </c>
    </row>
    <row r="22" spans="1:23" x14ac:dyDescent="0.55000000000000004">
      <c r="A22" s="1">
        <f ca="1">IF(sitrep_Data[[#This Row],[Date]]="","",sitrep_Data[[#This Row],[Date]])</f>
        <v>44476</v>
      </c>
      <c r="B22" t="s">
        <v>24</v>
      </c>
      <c r="E22">
        <v>200079</v>
      </c>
      <c r="F22" s="2"/>
      <c r="G22" s="2">
        <v>0.74652777777777779</v>
      </c>
      <c r="H22" s="2">
        <v>0.94791666666666663</v>
      </c>
      <c r="I22">
        <v>4.83</v>
      </c>
      <c r="J22">
        <v>5.3</v>
      </c>
      <c r="K22">
        <v>0.1</v>
      </c>
      <c r="L22" t="s">
        <v>27</v>
      </c>
      <c r="M22" t="s">
        <v>39</v>
      </c>
      <c r="N22" t="s">
        <v>29</v>
      </c>
      <c r="Q22" t="s">
        <v>30</v>
      </c>
      <c r="R22" t="s">
        <v>83</v>
      </c>
      <c r="S22">
        <v>28</v>
      </c>
      <c r="T22" t="s">
        <v>32</v>
      </c>
      <c r="W22" t="s">
        <v>84</v>
      </c>
    </row>
    <row r="23" spans="1:23" x14ac:dyDescent="0.55000000000000004">
      <c r="A23" s="1">
        <f ca="1">IF(sitrep_Data[[#This Row],[Date]]="","",sitrep_Data[[#This Row],[Date]])</f>
        <v>44477</v>
      </c>
      <c r="B23" t="s">
        <v>24</v>
      </c>
      <c r="E23">
        <v>200079</v>
      </c>
      <c r="F23" s="2"/>
      <c r="G23" s="2">
        <v>0.21388888888888888</v>
      </c>
      <c r="H23" s="2">
        <v>0.43333333333333335</v>
      </c>
      <c r="I23">
        <v>5.27</v>
      </c>
      <c r="J23">
        <v>5.5</v>
      </c>
      <c r="K23">
        <v>0.1</v>
      </c>
      <c r="L23" t="s">
        <v>27</v>
      </c>
      <c r="M23" t="s">
        <v>39</v>
      </c>
      <c r="N23" t="s">
        <v>29</v>
      </c>
      <c r="Q23" t="s">
        <v>30</v>
      </c>
      <c r="R23" t="s">
        <v>85</v>
      </c>
      <c r="S23">
        <v>29</v>
      </c>
      <c r="T23" t="s">
        <v>32</v>
      </c>
      <c r="W23" t="s">
        <v>84</v>
      </c>
    </row>
    <row r="24" spans="1:23" x14ac:dyDescent="0.55000000000000004">
      <c r="A24" s="1">
        <f ca="1">IF(sitrep_Data[[#This Row],[Date]]="","",sitrep_Data[[#This Row],[Date]])</f>
        <v>44479</v>
      </c>
      <c r="B24" t="s">
        <v>24</v>
      </c>
      <c r="E24">
        <v>200079</v>
      </c>
      <c r="F24" s="2"/>
      <c r="G24" s="2">
        <v>0.54652777777777772</v>
      </c>
      <c r="H24" s="2">
        <v>0.77777777777777779</v>
      </c>
      <c r="I24">
        <v>5.55</v>
      </c>
      <c r="J24">
        <v>5.7</v>
      </c>
      <c r="K24">
        <v>0.1</v>
      </c>
      <c r="L24" t="s">
        <v>27</v>
      </c>
      <c r="M24" t="s">
        <v>39</v>
      </c>
      <c r="N24" t="s">
        <v>29</v>
      </c>
      <c r="Q24" t="s">
        <v>30</v>
      </c>
      <c r="R24" t="s">
        <v>86</v>
      </c>
      <c r="S24">
        <v>29.2</v>
      </c>
      <c r="T24" t="s">
        <v>32</v>
      </c>
      <c r="W24" t="s">
        <v>84</v>
      </c>
    </row>
    <row r="25" spans="1:23" x14ac:dyDescent="0.55000000000000004">
      <c r="A25" s="1">
        <f ca="1">IF(sitrep_Data[[#This Row],[Date]]="","",sitrep_Data[[#This Row],[Date]])</f>
        <v>44483</v>
      </c>
      <c r="B25" t="s">
        <v>44</v>
      </c>
      <c r="E25">
        <v>200079</v>
      </c>
      <c r="F25" s="2"/>
      <c r="G25" s="2"/>
      <c r="H25" s="2"/>
      <c r="I25">
        <v>0</v>
      </c>
      <c r="P25" t="s">
        <v>87</v>
      </c>
      <c r="Q25" t="s">
        <v>88</v>
      </c>
      <c r="W25" t="s">
        <v>89</v>
      </c>
    </row>
    <row r="26" spans="1:23" x14ac:dyDescent="0.55000000000000004">
      <c r="A26" s="1">
        <f ca="1">IF(sitrep_Data[[#This Row],[Date]]="","",sitrep_Data[[#This Row],[Date]])</f>
        <v>44484</v>
      </c>
      <c r="B26" t="s">
        <v>44</v>
      </c>
      <c r="E26">
        <v>200079</v>
      </c>
      <c r="F26" s="2">
        <v>0.75</v>
      </c>
      <c r="G26" s="2"/>
      <c r="H26" s="2"/>
      <c r="I26">
        <v>0</v>
      </c>
      <c r="P26" t="s">
        <v>90</v>
      </c>
      <c r="Q26" t="s">
        <v>91</v>
      </c>
      <c r="W26" t="s">
        <v>92</v>
      </c>
    </row>
    <row r="27" spans="1:23" x14ac:dyDescent="0.55000000000000004">
      <c r="A27" s="1">
        <f ca="1">IF(sitrep_Data[[#This Row],[Date]]="","",sitrep_Data[[#This Row],[Date]])</f>
        <v>44490</v>
      </c>
      <c r="B27" t="s">
        <v>24</v>
      </c>
      <c r="E27">
        <v>200079</v>
      </c>
      <c r="F27" s="2">
        <v>0.875</v>
      </c>
      <c r="G27" s="2">
        <v>0.79861111111111116</v>
      </c>
      <c r="H27" s="2">
        <v>6.5277777777777782E-2</v>
      </c>
      <c r="I27">
        <v>6.4</v>
      </c>
      <c r="J27">
        <v>6.7</v>
      </c>
      <c r="K27">
        <v>0.1</v>
      </c>
      <c r="L27" t="s">
        <v>27</v>
      </c>
      <c r="M27" t="s">
        <v>57</v>
      </c>
      <c r="N27" t="s">
        <v>29</v>
      </c>
      <c r="Q27" t="s">
        <v>93</v>
      </c>
      <c r="R27" t="s">
        <v>94</v>
      </c>
      <c r="S27">
        <v>30</v>
      </c>
      <c r="T27" t="s">
        <v>32</v>
      </c>
      <c r="W27" t="s">
        <v>95</v>
      </c>
    </row>
    <row r="28" spans="1:23" x14ac:dyDescent="0.55000000000000004">
      <c r="A28" s="1">
        <f ca="1">IF(sitrep_Data[[#This Row],[Date]]="","",sitrep_Data[[#This Row],[Date]])</f>
        <v>44492</v>
      </c>
      <c r="B28" t="s">
        <v>51</v>
      </c>
      <c r="E28">
        <v>200079</v>
      </c>
      <c r="F28" s="2">
        <v>0.16666666666666666</v>
      </c>
      <c r="G28" s="2">
        <v>0.21527777777777779</v>
      </c>
      <c r="H28" s="2">
        <v>0.48749999999999999</v>
      </c>
      <c r="I28">
        <v>6.53</v>
      </c>
      <c r="J28">
        <v>6.7</v>
      </c>
      <c r="K28">
        <v>0.1</v>
      </c>
      <c r="L28" t="s">
        <v>27</v>
      </c>
      <c r="M28" t="s">
        <v>57</v>
      </c>
      <c r="N28" t="s">
        <v>29</v>
      </c>
      <c r="P28" t="s">
        <v>96</v>
      </c>
      <c r="Q28" t="s">
        <v>49</v>
      </c>
      <c r="R28" t="s">
        <v>97</v>
      </c>
      <c r="S28">
        <v>21</v>
      </c>
      <c r="T28" t="s">
        <v>32</v>
      </c>
      <c r="W28" t="s">
        <v>98</v>
      </c>
    </row>
    <row r="29" spans="1:23" x14ac:dyDescent="0.55000000000000004">
      <c r="A29" s="1">
        <f ca="1">IF(sitrep_Data[[#This Row],[Date]]="","",sitrep_Data[[#This Row],[Date]])</f>
        <v>44492</v>
      </c>
      <c r="B29" t="s">
        <v>44</v>
      </c>
      <c r="E29">
        <v>200085</v>
      </c>
      <c r="F29" s="2"/>
      <c r="G29" s="2">
        <v>0.66874999999999996</v>
      </c>
      <c r="H29" s="2">
        <v>0.66874999999999996</v>
      </c>
      <c r="I29">
        <v>0</v>
      </c>
      <c r="J29">
        <v>0.1</v>
      </c>
      <c r="P29" t="s">
        <v>74</v>
      </c>
      <c r="W29" t="s">
        <v>99</v>
      </c>
    </row>
    <row r="30" spans="1:23" x14ac:dyDescent="0.55000000000000004">
      <c r="A30" s="1">
        <f ca="1">IF(sitrep_Data[[#This Row],[Date]]="","",sitrep_Data[[#This Row],[Date]])</f>
        <v>44494</v>
      </c>
      <c r="B30" t="s">
        <v>44</v>
      </c>
      <c r="E30">
        <v>200079</v>
      </c>
      <c r="F30" s="2">
        <v>0.83333333333333337</v>
      </c>
      <c r="G30" s="2"/>
      <c r="H30" s="2"/>
      <c r="I30">
        <v>0</v>
      </c>
      <c r="P30" t="s">
        <v>100</v>
      </c>
      <c r="W30" t="s">
        <v>101</v>
      </c>
    </row>
    <row r="31" spans="1:23" x14ac:dyDescent="0.55000000000000004">
      <c r="A31" s="1">
        <f ca="1">IF(sitrep_Data[[#This Row],[Date]]="","",sitrep_Data[[#This Row],[Date]])</f>
        <v>44496</v>
      </c>
      <c r="B31" t="s">
        <v>51</v>
      </c>
      <c r="E31">
        <v>200079</v>
      </c>
      <c r="F31" s="2">
        <v>0.66666666666666663</v>
      </c>
      <c r="G31" s="2">
        <v>0.7055555555555556</v>
      </c>
      <c r="H31" s="2">
        <v>0.93263888888888891</v>
      </c>
      <c r="I31">
        <v>5.45</v>
      </c>
      <c r="J31">
        <v>5.8</v>
      </c>
      <c r="K31">
        <v>0.1</v>
      </c>
      <c r="L31" t="s">
        <v>27</v>
      </c>
      <c r="M31" t="s">
        <v>57</v>
      </c>
      <c r="N31" t="s">
        <v>29</v>
      </c>
      <c r="P31" t="s">
        <v>42</v>
      </c>
      <c r="Q31" t="s">
        <v>49</v>
      </c>
      <c r="R31" t="s">
        <v>102</v>
      </c>
      <c r="S31">
        <v>23.6</v>
      </c>
      <c r="T31" t="s">
        <v>32</v>
      </c>
      <c r="W31" t="s">
        <v>103</v>
      </c>
    </row>
    <row r="32" spans="1:23" x14ac:dyDescent="0.55000000000000004">
      <c r="A32" s="1">
        <f ca="1">IF(sitrep_Data[[#This Row],[Date]]="","",sitrep_Data[[#This Row],[Date]])</f>
        <v>44499</v>
      </c>
      <c r="B32" t="s">
        <v>24</v>
      </c>
      <c r="E32">
        <v>200079</v>
      </c>
      <c r="F32" s="2">
        <v>0.875</v>
      </c>
      <c r="G32" s="2">
        <v>0.79513888888888884</v>
      </c>
      <c r="H32" s="2">
        <v>0.92708333333333337</v>
      </c>
      <c r="I32">
        <v>3.17</v>
      </c>
      <c r="J32">
        <v>3.5</v>
      </c>
      <c r="K32">
        <v>0.1</v>
      </c>
      <c r="L32" t="s">
        <v>27</v>
      </c>
      <c r="M32" t="s">
        <v>57</v>
      </c>
      <c r="N32" t="s">
        <v>29</v>
      </c>
      <c r="Q32" t="s">
        <v>49</v>
      </c>
      <c r="R32" t="s">
        <v>104</v>
      </c>
      <c r="S32">
        <v>23</v>
      </c>
      <c r="T32" t="s">
        <v>32</v>
      </c>
      <c r="W32" t="s">
        <v>95</v>
      </c>
    </row>
    <row r="33" spans="1:23" x14ac:dyDescent="0.55000000000000004">
      <c r="A33" s="1">
        <f ca="1">IF(sitrep_Data[[#This Row],[Date]]="","",sitrep_Data[[#This Row],[Date]])</f>
        <v>44500</v>
      </c>
      <c r="B33" t="s">
        <v>24</v>
      </c>
      <c r="E33">
        <v>200079</v>
      </c>
      <c r="F33" s="2"/>
      <c r="G33" s="2">
        <v>0.4236111111111111</v>
      </c>
      <c r="H33" s="2">
        <v>0.58472222222222225</v>
      </c>
      <c r="I33">
        <v>3.87</v>
      </c>
      <c r="J33">
        <v>3.9</v>
      </c>
      <c r="K33">
        <v>0.1</v>
      </c>
      <c r="L33" t="s">
        <v>27</v>
      </c>
      <c r="M33" t="s">
        <v>57</v>
      </c>
      <c r="N33" t="s">
        <v>29</v>
      </c>
      <c r="Q33" t="s">
        <v>49</v>
      </c>
      <c r="R33" t="s">
        <v>105</v>
      </c>
      <c r="S33">
        <v>22</v>
      </c>
      <c r="T33" t="s">
        <v>32</v>
      </c>
      <c r="W33" t="s">
        <v>106</v>
      </c>
    </row>
    <row r="34" spans="1:23" x14ac:dyDescent="0.55000000000000004">
      <c r="A34" s="1">
        <f ca="1">IF(sitrep_Data[[#This Row],[Date]]="","",sitrep_Data[[#This Row],[Date]])</f>
        <v>44503</v>
      </c>
      <c r="B34" t="s">
        <v>24</v>
      </c>
      <c r="E34">
        <v>200079</v>
      </c>
      <c r="F34" s="2"/>
      <c r="G34" s="2">
        <v>0.66249999999999998</v>
      </c>
      <c r="H34" s="2">
        <v>0.92986111111111114</v>
      </c>
      <c r="I34">
        <v>6.42</v>
      </c>
      <c r="J34">
        <v>6.5</v>
      </c>
      <c r="K34">
        <v>0.1</v>
      </c>
      <c r="L34" t="s">
        <v>27</v>
      </c>
      <c r="M34" t="s">
        <v>57</v>
      </c>
      <c r="N34" t="s">
        <v>29</v>
      </c>
      <c r="Q34" t="s">
        <v>30</v>
      </c>
      <c r="R34" t="s">
        <v>107</v>
      </c>
      <c r="S34">
        <v>24</v>
      </c>
      <c r="T34" t="s">
        <v>32</v>
      </c>
      <c r="W34" t="s">
        <v>84</v>
      </c>
    </row>
    <row r="35" spans="1:23" x14ac:dyDescent="0.55000000000000004">
      <c r="A35" s="1">
        <f ca="1">IF(sitrep_Data[[#This Row],[Date]]="","",sitrep_Data[[#This Row],[Date]])</f>
        <v>44504</v>
      </c>
      <c r="B35" t="s">
        <v>51</v>
      </c>
      <c r="E35">
        <v>200079</v>
      </c>
      <c r="F35" s="2">
        <v>0.66666666666666663</v>
      </c>
      <c r="G35" s="2">
        <v>0.68402777777777779</v>
      </c>
      <c r="H35" s="2">
        <v>0.85902777777777772</v>
      </c>
      <c r="I35">
        <v>4.2</v>
      </c>
      <c r="J35">
        <v>4.3</v>
      </c>
      <c r="K35">
        <v>0.1</v>
      </c>
      <c r="L35" t="s">
        <v>27</v>
      </c>
      <c r="M35" t="s">
        <v>57</v>
      </c>
      <c r="N35" t="s">
        <v>29</v>
      </c>
      <c r="P35" t="s">
        <v>42</v>
      </c>
      <c r="Q35" t="s">
        <v>49</v>
      </c>
      <c r="R35" t="s">
        <v>108</v>
      </c>
      <c r="S35">
        <v>25</v>
      </c>
      <c r="T35" t="s">
        <v>32</v>
      </c>
      <c r="W35" t="s">
        <v>84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806CE7-22A4-44B9-A09C-000466A2AF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SITREP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Davis (US)</dc:creator>
  <cp:lastModifiedBy>Matthew Davis (US)</cp:lastModifiedBy>
  <dcterms:created xsi:type="dcterms:W3CDTF">2025-12-17T03:21:29Z</dcterms:created>
  <dcterms:modified xsi:type="dcterms:W3CDTF">2025-12-17T03:22:51Z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e5839-2946-45b4-af4a-b5461bd1ae21_Enabled">
    <vt:lpwstr>true</vt:lpwstr>
  </property>
  <property fmtid="{D5CDD505-2E9C-101B-9397-08002B2CF9AE}" pid="3" name="MSIP_Label_0c9e5839-2946-45b4-af4a-b5461bd1ae21_SetDate">
    <vt:lpwstr>2025-12-17T03:21:52Z</vt:lpwstr>
  </property>
  <property fmtid="{D5CDD505-2E9C-101B-9397-08002B2CF9AE}" pid="4" name="MSIP_Label_0c9e5839-2946-45b4-af4a-b5461bd1ae21_Method">
    <vt:lpwstr>Standard</vt:lpwstr>
  </property>
  <property fmtid="{D5CDD505-2E9C-101B-9397-08002B2CF9AE}" pid="5" name="MSIP_Label_0c9e5839-2946-45b4-af4a-b5461bd1ae21_Name">
    <vt:lpwstr>Shield AI General Information</vt:lpwstr>
  </property>
  <property fmtid="{D5CDD505-2E9C-101B-9397-08002B2CF9AE}" pid="6" name="MSIP_Label_0c9e5839-2946-45b4-af4a-b5461bd1ae21_SiteId">
    <vt:lpwstr>d16fb4e4-c36b-4544-98b0-51142c1a2093</vt:lpwstr>
  </property>
  <property fmtid="{D5CDD505-2E9C-101B-9397-08002B2CF9AE}" pid="7" name="MSIP_Label_0c9e5839-2946-45b4-af4a-b5461bd1ae21_ActionId">
    <vt:lpwstr>db2a7234-c690-4fec-84d5-11c597c970c1</vt:lpwstr>
  </property>
  <property fmtid="{D5CDD505-2E9C-101B-9397-08002B2CF9AE}" pid="8" name="MSIP_Label_0c9e5839-2946-45b4-af4a-b5461bd1ae21_ContentBits">
    <vt:lpwstr>0</vt:lpwstr>
  </property>
  <property fmtid="{D5CDD505-2E9C-101B-9397-08002B2CF9AE}" pid="9" name="MSIP_Label_0c9e5839-2946-45b4-af4a-b5461bd1ae21_Tag">
    <vt:lpwstr>10, 3, 0, 1</vt:lpwstr>
  </property>
</Properties>
</file>